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1"/>
  </bookViews>
  <sheets>
    <sheet name="Sample calcs" sheetId="1" r:id="rId1"/>
    <sheet name="Water saturation table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7" i="2" l="1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A44" i="2"/>
  <c r="C7" i="2"/>
  <c r="G7" i="2"/>
  <c r="E8" i="2"/>
  <c r="C9" i="2"/>
  <c r="G9" i="2"/>
  <c r="E10" i="2"/>
  <c r="C11" i="2"/>
  <c r="G11" i="2"/>
  <c r="E12" i="2"/>
  <c r="C13" i="2"/>
  <c r="G13" i="2"/>
  <c r="E14" i="2"/>
  <c r="C15" i="2"/>
  <c r="G15" i="2"/>
  <c r="E16" i="2"/>
  <c r="C17" i="2"/>
  <c r="G17" i="2"/>
  <c r="E18" i="2"/>
  <c r="C19" i="2"/>
  <c r="G19" i="2"/>
  <c r="E20" i="2"/>
  <c r="C21" i="2"/>
  <c r="G21" i="2"/>
  <c r="E22" i="2"/>
  <c r="C23" i="2"/>
  <c r="G23" i="2"/>
  <c r="E24" i="2"/>
  <c r="C25" i="2"/>
  <c r="G25" i="2"/>
  <c r="E26" i="2"/>
  <c r="C27" i="2"/>
  <c r="G27" i="2"/>
  <c r="E28" i="2"/>
  <c r="C29" i="2"/>
  <c r="G29" i="2"/>
  <c r="E30" i="2"/>
  <c r="C31" i="2"/>
  <c r="G31" i="2"/>
  <c r="E32" i="2"/>
  <c r="C33" i="2"/>
  <c r="G33" i="2"/>
  <c r="E34" i="2"/>
  <c r="C35" i="2"/>
  <c r="G35" i="2"/>
  <c r="E36" i="2"/>
  <c r="C37" i="2"/>
  <c r="G37" i="2"/>
  <c r="E38" i="2"/>
  <c r="C39" i="2"/>
  <c r="G39" i="2"/>
  <c r="E40" i="2"/>
  <c r="C41" i="2"/>
  <c r="G41" i="2"/>
  <c r="E42" i="2"/>
  <c r="C43" i="2"/>
  <c r="G43" i="2"/>
  <c r="D7" i="2"/>
  <c r="F8" i="2"/>
  <c r="D9" i="2"/>
  <c r="F10" i="2"/>
  <c r="D11" i="2"/>
  <c r="F12" i="2"/>
  <c r="D13" i="2"/>
  <c r="F14" i="2"/>
  <c r="D15" i="2"/>
  <c r="F16" i="2"/>
  <c r="D17" i="2"/>
  <c r="F18" i="2"/>
  <c r="D19" i="2"/>
  <c r="F20" i="2"/>
  <c r="D21" i="2"/>
  <c r="F22" i="2"/>
  <c r="D23" i="2"/>
  <c r="F24" i="2"/>
  <c r="D25" i="2"/>
  <c r="F26" i="2"/>
  <c r="D27" i="2"/>
  <c r="F28" i="2"/>
  <c r="D29" i="2"/>
  <c r="F30" i="2"/>
  <c r="D31" i="2"/>
  <c r="F32" i="2"/>
  <c r="D33" i="2"/>
  <c r="F34" i="2"/>
  <c r="D35" i="2"/>
  <c r="F36" i="2"/>
  <c r="D37" i="2"/>
  <c r="F38" i="2"/>
  <c r="D39" i="2"/>
  <c r="F40" i="2"/>
  <c r="D41" i="2"/>
  <c r="F42" i="2"/>
  <c r="D43" i="2"/>
  <c r="E7" i="2"/>
  <c r="C8" i="2"/>
  <c r="G8" i="2"/>
  <c r="E9" i="2"/>
  <c r="C10" i="2"/>
  <c r="G10" i="2"/>
  <c r="E11" i="2"/>
  <c r="C12" i="2"/>
  <c r="G12" i="2"/>
  <c r="E13" i="2"/>
  <c r="C14" i="2"/>
  <c r="G14" i="2"/>
  <c r="E15" i="2"/>
  <c r="C16" i="2"/>
  <c r="G16" i="2"/>
  <c r="E17" i="2"/>
  <c r="C18" i="2"/>
  <c r="G18" i="2"/>
  <c r="E19" i="2"/>
  <c r="C20" i="2"/>
  <c r="G20" i="2"/>
  <c r="E21" i="2"/>
  <c r="C22" i="2"/>
  <c r="G22" i="2"/>
  <c r="E23" i="2"/>
  <c r="C24" i="2"/>
  <c r="G24" i="2"/>
  <c r="E25" i="2"/>
  <c r="C26" i="2"/>
  <c r="G26" i="2"/>
  <c r="E27" i="2"/>
  <c r="C28" i="2"/>
  <c r="G28" i="2"/>
  <c r="E29" i="2"/>
  <c r="C30" i="2"/>
  <c r="G30" i="2"/>
  <c r="E31" i="2"/>
  <c r="C32" i="2"/>
  <c r="G32" i="2"/>
  <c r="E33" i="2"/>
  <c r="C34" i="2"/>
  <c r="G34" i="2"/>
  <c r="E35" i="2"/>
  <c r="C36" i="2"/>
  <c r="G36" i="2"/>
  <c r="E37" i="2"/>
  <c r="C38" i="2"/>
  <c r="G38" i="2"/>
  <c r="E39" i="2"/>
  <c r="C40" i="2"/>
  <c r="G40" i="2"/>
  <c r="E41" i="2"/>
  <c r="C42" i="2"/>
  <c r="G42" i="2"/>
  <c r="E43" i="2"/>
  <c r="F7" i="2"/>
  <c r="F9" i="2"/>
  <c r="F11" i="2"/>
  <c r="F13" i="2"/>
  <c r="F15" i="2"/>
  <c r="F17" i="2"/>
  <c r="F21" i="2"/>
  <c r="F23" i="2"/>
  <c r="F27" i="2"/>
  <c r="F33" i="2"/>
  <c r="F37" i="2"/>
  <c r="F43" i="2"/>
  <c r="D8" i="2"/>
  <c r="D10" i="2"/>
  <c r="D12" i="2"/>
  <c r="D14" i="2"/>
  <c r="D16" i="2"/>
  <c r="D18" i="2"/>
  <c r="D20" i="2"/>
  <c r="D22" i="2"/>
  <c r="D24" i="2"/>
  <c r="D26" i="2"/>
  <c r="D28" i="2"/>
  <c r="D30" i="2"/>
  <c r="D32" i="2"/>
  <c r="D34" i="2"/>
  <c r="D36" i="2"/>
  <c r="D38" i="2"/>
  <c r="D40" i="2"/>
  <c r="D42" i="2"/>
  <c r="F19" i="2"/>
  <c r="F25" i="2"/>
  <c r="F29" i="2"/>
  <c r="F31" i="2"/>
  <c r="F35" i="2"/>
  <c r="F39" i="2"/>
  <c r="F41" i="2"/>
  <c r="B8" i="1"/>
  <c r="B44" i="2" l="1"/>
  <c r="B6" i="2"/>
  <c r="E44" i="2"/>
  <c r="C44" i="2"/>
  <c r="G44" i="2"/>
  <c r="F44" i="2"/>
  <c r="D44" i="2"/>
  <c r="D6" i="2"/>
  <c r="C6" i="2"/>
  <c r="G6" i="2"/>
  <c r="F6" i="2"/>
  <c r="E6" i="2"/>
  <c r="B5" i="1"/>
  <c r="B6" i="1"/>
  <c r="B7" i="1"/>
</calcChain>
</file>

<file path=xl/sharedStrings.xml><?xml version="1.0" encoding="utf-8"?>
<sst xmlns="http://schemas.openxmlformats.org/spreadsheetml/2006/main" count="30" uniqueCount="19">
  <si>
    <t>Critical temperature of R410A:</t>
  </si>
  <si>
    <t>K</t>
  </si>
  <si>
    <t>Density of Air at STP:</t>
  </si>
  <si>
    <r>
      <t>kg/m</t>
    </r>
    <r>
      <rPr>
        <sz val="11"/>
        <color theme="1"/>
        <rFont val="Times New Roman"/>
        <family val="1"/>
      </rPr>
      <t>³</t>
    </r>
  </si>
  <si>
    <t>Instructions for Use:</t>
  </si>
  <si>
    <t>a) Place the CoolProp.dll file in a folder called c:\CoolProp</t>
  </si>
  <si>
    <t>Boiling point of water at 1 atm:</t>
  </si>
  <si>
    <t>Critical density of propane:</t>
  </si>
  <si>
    <t>b) Enjoy!</t>
  </si>
  <si>
    <t>Saturation Table for water</t>
  </si>
  <si>
    <r>
      <rPr>
        <sz val="11"/>
        <color theme="1"/>
        <rFont val="Times New Roman"/>
        <family val="1"/>
      </rPr>
      <t>°</t>
    </r>
    <r>
      <rPr>
        <sz val="11"/>
        <color theme="1"/>
        <rFont val="Calibri"/>
        <family val="2"/>
      </rPr>
      <t>C</t>
    </r>
  </si>
  <si>
    <t>Density</t>
  </si>
  <si>
    <t>Temperature</t>
  </si>
  <si>
    <t>Sat. Liq.</t>
  </si>
  <si>
    <t>Sat. Vap.</t>
  </si>
  <si>
    <t>Pressure</t>
  </si>
  <si>
    <t>kPa</t>
  </si>
  <si>
    <t>Enthalpy</t>
  </si>
  <si>
    <t>kJ/kg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</si>
</sst>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log(p) - h plot for water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'Water saturation table'!$F$6:$F$44</c:f>
              <c:numCache>
                <c:formatCode>General</c:formatCode>
                <c:ptCount val="39"/>
                <c:pt idx="0">
                  <c:v>6.1220371700874358E-4</c:v>
                </c:pt>
                <c:pt idx="1">
                  <c:v>42.021255884864829</c:v>
                </c:pt>
                <c:pt idx="2">
                  <c:v>83.914144952811213</c:v>
                </c:pt>
                <c:pt idx="3">
                  <c:v>125.7339734191996</c:v>
                </c:pt>
                <c:pt idx="4">
                  <c:v>167.5330355872226</c:v>
                </c:pt>
                <c:pt idx="5">
                  <c:v>209.34176132668546</c:v>
                </c:pt>
                <c:pt idx="6">
                  <c:v>251.18035191395026</c:v>
                </c:pt>
                <c:pt idx="7">
                  <c:v>293.06519282229141</c:v>
                </c:pt>
                <c:pt idx="8">
                  <c:v>335.01235325256681</c:v>
                </c:pt>
                <c:pt idx="9">
                  <c:v>377.03938647775493</c:v>
                </c:pt>
                <c:pt idx="10">
                  <c:v>419.16616289288754</c:v>
                </c:pt>
                <c:pt idx="11">
                  <c:v>461.41518953432177</c:v>
                </c:pt>
                <c:pt idx="12">
                  <c:v>503.81169242146922</c:v>
                </c:pt>
                <c:pt idx="13">
                  <c:v>546.38362438114689</c:v>
                </c:pt>
                <c:pt idx="14">
                  <c:v>589.16169048823406</c:v>
                </c:pt>
                <c:pt idx="15">
                  <c:v>632.17944178056678</c:v>
                </c:pt>
                <c:pt idx="16">
                  <c:v>675.47346558322545</c:v>
                </c:pt>
                <c:pt idx="17">
                  <c:v>719.08369096295633</c:v>
                </c:pt>
                <c:pt idx="18">
                  <c:v>763.05382639583149</c:v>
                </c:pt>
                <c:pt idx="19">
                  <c:v>807.43195145025209</c:v>
                </c:pt>
                <c:pt idx="20">
                  <c:v>852.2712944601858</c:v>
                </c:pt>
                <c:pt idx="21">
                  <c:v>897.63124444416712</c:v>
                </c:pt>
                <c:pt idx="22">
                  <c:v>943.57867004221043</c:v>
                </c:pt>
                <c:pt idx="23">
                  <c:v>990.18965507747396</c:v>
                </c:pt>
                <c:pt idx="24">
                  <c:v>1037.5518165790274</c:v>
                </c:pt>
                <c:pt idx="25">
                  <c:v>1085.7674588110535</c:v>
                </c:pt>
                <c:pt idx="26">
                  <c:v>1134.9579569891293</c:v>
                </c:pt>
                <c:pt idx="27">
                  <c:v>1185.2699943566142</c:v>
                </c:pt>
                <c:pt idx="28">
                  <c:v>1236.8846659592696</c:v>
                </c:pt>
                <c:pt idx="29">
                  <c:v>1290.0311497479677</c:v>
                </c:pt>
                <c:pt idx="30">
                  <c:v>1345.0079264161161</c:v>
                </c:pt>
                <c:pt idx="31">
                  <c:v>1402.2171260009693</c:v>
                </c:pt>
                <c:pt idx="32">
                  <c:v>1462.2236463970921</c:v>
                </c:pt>
                <c:pt idx="33">
                  <c:v>1525.8683270564184</c:v>
                </c:pt>
                <c:pt idx="34">
                  <c:v>1594.5289922369027</c:v>
                </c:pt>
                <c:pt idx="35">
                  <c:v>1670.8899067287159</c:v>
                </c:pt>
                <c:pt idx="36">
                  <c:v>1761.6646205625905</c:v>
                </c:pt>
                <c:pt idx="37">
                  <c:v>1890.6872488661911</c:v>
                </c:pt>
                <c:pt idx="38">
                  <c:v>2060.0042388190018</c:v>
                </c:pt>
              </c:numCache>
            </c:numRef>
          </c:xVal>
          <c:yVal>
            <c:numRef>
              <c:f>'Water saturation table'!$C$6:$C$44</c:f>
              <c:numCache>
                <c:formatCode>General</c:formatCode>
                <c:ptCount val="39"/>
                <c:pt idx="0">
                  <c:v>0.61165476405738783</c:v>
                </c:pt>
                <c:pt idx="1">
                  <c:v>1.2281989216218734</c:v>
                </c:pt>
                <c:pt idx="2">
                  <c:v>2.3393181833843304</c:v>
                </c:pt>
                <c:pt idx="3">
                  <c:v>4.2469708453716919</c:v>
                </c:pt>
                <c:pt idx="4">
                  <c:v>7.384938078488676</c:v>
                </c:pt>
                <c:pt idx="5">
                  <c:v>12.351945839628758</c:v>
                </c:pt>
                <c:pt idx="6">
                  <c:v>19.946434302814215</c:v>
                </c:pt>
                <c:pt idx="7">
                  <c:v>31.200930025580217</c:v>
                </c:pt>
                <c:pt idx="8">
                  <c:v>47.414474029639273</c:v>
                </c:pt>
                <c:pt idx="9">
                  <c:v>70.181765813260782</c:v>
                </c:pt>
                <c:pt idx="10">
                  <c:v>101.41799666002066</c:v>
                </c:pt>
                <c:pt idx="11">
                  <c:v>143.37871294890778</c:v>
                </c:pt>
                <c:pt idx="12">
                  <c:v>198.67442048006205</c:v>
                </c:pt>
                <c:pt idx="13">
                  <c:v>270.27997678547871</c:v>
                </c:pt>
                <c:pt idx="14">
                  <c:v>361.53909939885102</c:v>
                </c:pt>
                <c:pt idx="15">
                  <c:v>476.16453796963026</c:v>
                </c:pt>
                <c:pt idx="16">
                  <c:v>618.23462142564961</c:v>
                </c:pt>
                <c:pt idx="17">
                  <c:v>792.18700698171995</c:v>
                </c:pt>
                <c:pt idx="18">
                  <c:v>1002.8105360783895</c:v>
                </c:pt>
                <c:pt idx="19">
                  <c:v>1255.2361551603883</c:v>
                </c:pt>
                <c:pt idx="20">
                  <c:v>1554.9279004666741</c:v>
                </c:pt>
                <c:pt idx="21">
                  <c:v>1907.6749935323041</c:v>
                </c:pt>
                <c:pt idx="22">
                  <c:v>2319.5861701994427</c:v>
                </c:pt>
                <c:pt idx="23">
                  <c:v>2797.0874969294823</c:v>
                </c:pt>
                <c:pt idx="24">
                  <c:v>3346.9251442691784</c:v>
                </c:pt>
                <c:pt idx="25">
                  <c:v>3976.1749306525894</c:v>
                </c:pt>
                <c:pt idx="26">
                  <c:v>4692.2609922997099</c:v>
                </c:pt>
                <c:pt idx="27">
                  <c:v>5502.986783014594</c:v>
                </c:pt>
                <c:pt idx="28">
                  <c:v>6416.5829095319705</c:v>
                </c:pt>
                <c:pt idx="29">
                  <c:v>7441.7783444211082</c:v>
                </c:pt>
                <c:pt idx="30">
                  <c:v>8587.9049408354604</c:v>
                </c:pt>
                <c:pt idx="31">
                  <c:v>9865.0512111821063</c:v>
                </c:pt>
                <c:pt idx="32">
                  <c:v>11284.292927464845</c:v>
                </c:pt>
                <c:pt idx="33">
                  <c:v>12858.051600018562</c:v>
                </c:pt>
                <c:pt idx="34">
                  <c:v>14600.677371948052</c:v>
                </c:pt>
                <c:pt idx="35">
                  <c:v>16529.415139004024</c:v>
                </c:pt>
                <c:pt idx="36">
                  <c:v>18666.006645644971</c:v>
                </c:pt>
                <c:pt idx="37">
                  <c:v>21043.563147465771</c:v>
                </c:pt>
                <c:pt idx="38">
                  <c:v>22061.3281318503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'Water saturation table'!$G$6:$G$44</c:f>
              <c:numCache>
                <c:formatCode>General</c:formatCode>
                <c:ptCount val="39"/>
                <c:pt idx="0">
                  <c:v>2500.9151916490418</c:v>
                </c:pt>
                <c:pt idx="1">
                  <c:v>2519.2083189072159</c:v>
                </c:pt>
                <c:pt idx="2">
                  <c:v>2537.4334043725835</c:v>
                </c:pt>
                <c:pt idx="3">
                  <c:v>2555.545203294766</c:v>
                </c:pt>
                <c:pt idx="4">
                  <c:v>2573.510322374003</c:v>
                </c:pt>
                <c:pt idx="5">
                  <c:v>2591.2888878672015</c:v>
                </c:pt>
                <c:pt idx="6">
                  <c:v>2608.8348722177275</c:v>
                </c:pt>
                <c:pt idx="7">
                  <c:v>2626.0964008315318</c:v>
                </c:pt>
                <c:pt idx="8">
                  <c:v>2643.0158813452254</c:v>
                </c:pt>
                <c:pt idx="9">
                  <c:v>2659.5300141957473</c:v>
                </c:pt>
                <c:pt idx="10">
                  <c:v>2675.569884419464</c:v>
                </c:pt>
                <c:pt idx="11">
                  <c:v>2691.0613426859572</c:v>
                </c:pt>
                <c:pt idx="12">
                  <c:v>2705.9257657931835</c:v>
                </c:pt>
                <c:pt idx="13">
                  <c:v>2720.0811051450496</c:v>
                </c:pt>
                <c:pt idx="14">
                  <c:v>2733.4429731737559</c:v>
                </c:pt>
                <c:pt idx="15">
                  <c:v>2745.9254514300796</c:v>
                </c:pt>
                <c:pt idx="16">
                  <c:v>2757.4413489921208</c:v>
                </c:pt>
                <c:pt idx="17">
                  <c:v>2767.901762261462</c:v>
                </c:pt>
                <c:pt idx="18">
                  <c:v>2777.2149260216215</c:v>
                </c:pt>
                <c:pt idx="19">
                  <c:v>2785.28444476205</c:v>
                </c:pt>
                <c:pt idx="20">
                  <c:v>2792.0070226267294</c:v>
                </c:pt>
                <c:pt idx="21">
                  <c:v>2797.2697683428014</c:v>
                </c:pt>
                <c:pt idx="22">
                  <c:v>2800.9470527725625</c:v>
                </c:pt>
                <c:pt idx="23">
                  <c:v>2802.8967584010438</c:v>
                </c:pt>
                <c:pt idx="24">
                  <c:v>2802.9556046252342</c:v>
                </c:pt>
                <c:pt idx="25">
                  <c:v>2800.9330729758303</c:v>
                </c:pt>
                <c:pt idx="26">
                  <c:v>2796.6032203853529</c:v>
                </c:pt>
                <c:pt idx="27">
                  <c:v>2789.6932193000125</c:v>
                </c:pt>
                <c:pt idx="28">
                  <c:v>2779.8667305294548</c:v>
                </c:pt>
                <c:pt idx="29">
                  <c:v>2766.6990506391339</c:v>
                </c:pt>
                <c:pt idx="30">
                  <c:v>2749.6387614002474</c:v>
                </c:pt>
                <c:pt idx="31">
                  <c:v>2727.9458789653859</c:v>
                </c:pt>
                <c:pt idx="32">
                  <c:v>2700.5857692409354</c:v>
                </c:pt>
                <c:pt idx="33">
                  <c:v>2666.031140557167</c:v>
                </c:pt>
                <c:pt idx="34">
                  <c:v>2621.8455755251762</c:v>
                </c:pt>
                <c:pt idx="35">
                  <c:v>2563.6367109445468</c:v>
                </c:pt>
                <c:pt idx="36">
                  <c:v>2481.4924833322352</c:v>
                </c:pt>
                <c:pt idx="37">
                  <c:v>2334.5182916068688</c:v>
                </c:pt>
                <c:pt idx="38">
                  <c:v>2110.5585218700166</c:v>
                </c:pt>
              </c:numCache>
            </c:numRef>
          </c:xVal>
          <c:yVal>
            <c:numRef>
              <c:f>'Water saturation table'!$C$6:$C$44</c:f>
              <c:numCache>
                <c:formatCode>General</c:formatCode>
                <c:ptCount val="39"/>
                <c:pt idx="0">
                  <c:v>0.61165476405738783</c:v>
                </c:pt>
                <c:pt idx="1">
                  <c:v>1.2281989216218734</c:v>
                </c:pt>
                <c:pt idx="2">
                  <c:v>2.3393181833843304</c:v>
                </c:pt>
                <c:pt idx="3">
                  <c:v>4.2469708453716919</c:v>
                </c:pt>
                <c:pt idx="4">
                  <c:v>7.384938078488676</c:v>
                </c:pt>
                <c:pt idx="5">
                  <c:v>12.351945839628758</c:v>
                </c:pt>
                <c:pt idx="6">
                  <c:v>19.946434302814215</c:v>
                </c:pt>
                <c:pt idx="7">
                  <c:v>31.200930025580217</c:v>
                </c:pt>
                <c:pt idx="8">
                  <c:v>47.414474029639273</c:v>
                </c:pt>
                <c:pt idx="9">
                  <c:v>70.181765813260782</c:v>
                </c:pt>
                <c:pt idx="10">
                  <c:v>101.41799666002066</c:v>
                </c:pt>
                <c:pt idx="11">
                  <c:v>143.37871294890778</c:v>
                </c:pt>
                <c:pt idx="12">
                  <c:v>198.67442048006205</c:v>
                </c:pt>
                <c:pt idx="13">
                  <c:v>270.27997678547871</c:v>
                </c:pt>
                <c:pt idx="14">
                  <c:v>361.53909939885102</c:v>
                </c:pt>
                <c:pt idx="15">
                  <c:v>476.16453796963026</c:v>
                </c:pt>
                <c:pt idx="16">
                  <c:v>618.23462142564961</c:v>
                </c:pt>
                <c:pt idx="17">
                  <c:v>792.18700698171995</c:v>
                </c:pt>
                <c:pt idx="18">
                  <c:v>1002.8105360783895</c:v>
                </c:pt>
                <c:pt idx="19">
                  <c:v>1255.2361551603883</c:v>
                </c:pt>
                <c:pt idx="20">
                  <c:v>1554.9279004666741</c:v>
                </c:pt>
                <c:pt idx="21">
                  <c:v>1907.6749935323041</c:v>
                </c:pt>
                <c:pt idx="22">
                  <c:v>2319.5861701994427</c:v>
                </c:pt>
                <c:pt idx="23">
                  <c:v>2797.0874969294823</c:v>
                </c:pt>
                <c:pt idx="24">
                  <c:v>3346.9251442691784</c:v>
                </c:pt>
                <c:pt idx="25">
                  <c:v>3976.1749306525894</c:v>
                </c:pt>
                <c:pt idx="26">
                  <c:v>4692.2609922997099</c:v>
                </c:pt>
                <c:pt idx="27">
                  <c:v>5502.986783014594</c:v>
                </c:pt>
                <c:pt idx="28">
                  <c:v>6416.5829095319705</c:v>
                </c:pt>
                <c:pt idx="29">
                  <c:v>7441.7783444211082</c:v>
                </c:pt>
                <c:pt idx="30">
                  <c:v>8587.9049408354604</c:v>
                </c:pt>
                <c:pt idx="31">
                  <c:v>9865.0512111821063</c:v>
                </c:pt>
                <c:pt idx="32">
                  <c:v>11284.292927464845</c:v>
                </c:pt>
                <c:pt idx="33">
                  <c:v>12858.051600018562</c:v>
                </c:pt>
                <c:pt idx="34">
                  <c:v>14600.677371948052</c:v>
                </c:pt>
                <c:pt idx="35">
                  <c:v>16529.415139004024</c:v>
                </c:pt>
                <c:pt idx="36">
                  <c:v>18666.006645644971</c:v>
                </c:pt>
                <c:pt idx="37">
                  <c:v>21043.563147465771</c:v>
                </c:pt>
                <c:pt idx="38">
                  <c:v>22061.3281318503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294144"/>
        <c:axId val="88292352"/>
      </c:scatterChart>
      <c:valAx>
        <c:axId val="88294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Enthalpy [kJ/kg]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88292352"/>
        <c:crossesAt val="0.1"/>
        <c:crossBetween val="midCat"/>
      </c:valAx>
      <c:valAx>
        <c:axId val="8829235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[kPa]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8829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352425</xdr:colOff>
      <xdr:row>4</xdr:row>
      <xdr:rowOff>9525</xdr:rowOff>
    </xdr:from>
    <xdr:to>
      <xdr:col>15</xdr:col>
      <xdr:colOff>47625</xdr:colOff>
      <xdr:row>18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workbookViewId="0">
      <selection activeCell="C9" sqref="C9"/>
    </sheetView>
  </sheetViews>
  <sheetFormatPr defaultRowHeight="15" x14ac:dyDescent="0.25"/>
  <cols>
    <col min="1" max="1" width="28.85546875" customWidth="1"/>
  </cols>
  <sheetData>
    <row r="1" spans="1:3" x14ac:dyDescent="0.25">
      <c r="A1" t="s">
        <v>4</v>
      </c>
    </row>
    <row r="2" spans="1:3" x14ac:dyDescent="0.25">
      <c r="A2" t="s">
        <v>5</v>
      </c>
    </row>
    <row r="3" spans="1:3" x14ac:dyDescent="0.25">
      <c r="A3" t="s">
        <v>8</v>
      </c>
    </row>
    <row r="5" spans="1:3" x14ac:dyDescent="0.25">
      <c r="A5" t="s">
        <v>0</v>
      </c>
      <c r="B5">
        <f>Props1("R410A","Tcrit")</f>
        <v>344.49400000000003</v>
      </c>
      <c r="C5" t="s">
        <v>1</v>
      </c>
    </row>
    <row r="6" spans="1:3" x14ac:dyDescent="0.25">
      <c r="A6" t="s">
        <v>7</v>
      </c>
      <c r="B6">
        <f>Props1("Propane","rhocrit")</f>
        <v>220.47799999</v>
      </c>
      <c r="C6" t="s">
        <v>3</v>
      </c>
    </row>
    <row r="7" spans="1:3" x14ac:dyDescent="0.25">
      <c r="A7" t="s">
        <v>2</v>
      </c>
      <c r="B7">
        <f>Props("D","T",298.15,"P",101.325,"Air")</f>
        <v>1.1843184839089667</v>
      </c>
      <c r="C7" t="s">
        <v>3</v>
      </c>
    </row>
    <row r="8" spans="1:3" x14ac:dyDescent="0.25">
      <c r="A8" t="s">
        <v>6</v>
      </c>
      <c r="B8">
        <f>Props("T","P",101.325,"Q",0,"Water")-273.15</f>
        <v>99.974295864387216</v>
      </c>
      <c r="C8" s="1" t="s">
        <v>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44"/>
  <sheetViews>
    <sheetView tabSelected="1" topLeftCell="B1" workbookViewId="0">
      <selection activeCell="D9" sqref="D9"/>
    </sheetView>
  </sheetViews>
  <sheetFormatPr defaultRowHeight="15" x14ac:dyDescent="0.25"/>
  <cols>
    <col min="1" max="1" width="15" customWidth="1"/>
    <col min="2" max="2" width="12.28515625" customWidth="1"/>
  </cols>
  <sheetData>
    <row r="2" spans="1:7" x14ac:dyDescent="0.25">
      <c r="A2" s="2" t="s">
        <v>9</v>
      </c>
      <c r="B2" s="2"/>
      <c r="C2" s="2"/>
      <c r="D2" s="2"/>
      <c r="E2" s="2"/>
    </row>
    <row r="3" spans="1:7" x14ac:dyDescent="0.25">
      <c r="A3" t="s">
        <v>12</v>
      </c>
      <c r="B3" t="s">
        <v>12</v>
      </c>
      <c r="C3" t="s">
        <v>15</v>
      </c>
      <c r="D3" t="s">
        <v>13</v>
      </c>
      <c r="E3" t="s">
        <v>14</v>
      </c>
      <c r="F3" t="s">
        <v>13</v>
      </c>
      <c r="G3" t="s">
        <v>14</v>
      </c>
    </row>
    <row r="4" spans="1:7" x14ac:dyDescent="0.25">
      <c r="D4" t="s">
        <v>11</v>
      </c>
      <c r="E4" t="s">
        <v>11</v>
      </c>
      <c r="F4" t="s">
        <v>17</v>
      </c>
      <c r="G4" t="s">
        <v>17</v>
      </c>
    </row>
    <row r="5" spans="1:7" x14ac:dyDescent="0.25">
      <c r="A5" s="1" t="s">
        <v>10</v>
      </c>
      <c r="B5" t="s">
        <v>1</v>
      </c>
      <c r="C5" t="s">
        <v>16</v>
      </c>
      <c r="D5" t="s">
        <v>3</v>
      </c>
      <c r="E5" t="s">
        <v>3</v>
      </c>
      <c r="F5" t="s">
        <v>18</v>
      </c>
      <c r="G5" t="s">
        <v>18</v>
      </c>
    </row>
    <row r="6" spans="1:7" x14ac:dyDescent="0.25">
      <c r="A6" s="4">
        <v>1.00001E-2</v>
      </c>
      <c r="B6" s="3">
        <f>A6+273.15</f>
        <v>273.16000009999999</v>
      </c>
      <c r="C6">
        <f>Props("P","T",B6,"Q",0,"Water")</f>
        <v>0.61165476405738783</v>
      </c>
      <c r="D6">
        <f>Props("D","T",B6,"Q",0,"Water")</f>
        <v>999.79252003840224</v>
      </c>
      <c r="E6">
        <f>Props("D","T",B6,"Q",1,"Water")</f>
        <v>4.8545757582907235E-3</v>
      </c>
      <c r="F6">
        <f>Props("H","T",B6,"Q",0,"Water")</f>
        <v>6.1220371700874358E-4</v>
      </c>
      <c r="G6">
        <f>Props("H","T",B6,"Q",1,"Water")</f>
        <v>2500.9151916490418</v>
      </c>
    </row>
    <row r="7" spans="1:7" x14ac:dyDescent="0.25">
      <c r="A7">
        <v>10</v>
      </c>
      <c r="B7" s="3">
        <f t="shared" ref="B7:B43" si="0">A7+273.15</f>
        <v>283.14999999999998</v>
      </c>
      <c r="C7">
        <f t="shared" ref="C7:C43" si="1">Props("P","T",B7,"Q",0,"Water")</f>
        <v>1.2281989216218734</v>
      </c>
      <c r="D7">
        <f t="shared" ref="D7:D43" si="2">Props("D","T",B7,"Q",0,"Water")</f>
        <v>999.65462464160316</v>
      </c>
      <c r="E7">
        <f t="shared" ref="E7:E43" si="3">Props("D","T",B7,"Q",1,"Water")</f>
        <v>9.4070520080235566E-3</v>
      </c>
      <c r="F7">
        <f t="shared" ref="F7:F43" si="4">Props("H","T",B7,"Q",0,"Water")</f>
        <v>42.021255884864829</v>
      </c>
      <c r="G7">
        <f t="shared" ref="G7:G43" si="5">Props("H","T",B7,"Q",1,"Water")</f>
        <v>2519.2083189072159</v>
      </c>
    </row>
    <row r="8" spans="1:7" x14ac:dyDescent="0.25">
      <c r="A8">
        <v>20</v>
      </c>
      <c r="B8" s="3">
        <f t="shared" si="0"/>
        <v>293.14999999999998</v>
      </c>
      <c r="C8">
        <f t="shared" si="1"/>
        <v>2.3393181833843304</v>
      </c>
      <c r="D8">
        <f t="shared" si="2"/>
        <v>998.16180134316789</v>
      </c>
      <c r="E8">
        <f t="shared" si="3"/>
        <v>1.7314008205457702E-2</v>
      </c>
      <c r="F8">
        <f t="shared" si="4"/>
        <v>83.914144952811213</v>
      </c>
      <c r="G8">
        <f t="shared" si="5"/>
        <v>2537.4334043725835</v>
      </c>
    </row>
    <row r="9" spans="1:7" x14ac:dyDescent="0.25">
      <c r="A9">
        <v>30</v>
      </c>
      <c r="B9" s="3">
        <f t="shared" si="0"/>
        <v>303.14999999999998</v>
      </c>
      <c r="C9">
        <f t="shared" si="1"/>
        <v>4.2469708453716919</v>
      </c>
      <c r="D9">
        <f t="shared" si="2"/>
        <v>995.60617747384254</v>
      </c>
      <c r="E9">
        <f t="shared" si="3"/>
        <v>3.0415211808982469E-2</v>
      </c>
      <c r="F9">
        <f t="shared" si="4"/>
        <v>125.7339734191996</v>
      </c>
      <c r="G9">
        <f t="shared" si="5"/>
        <v>2555.545203294766</v>
      </c>
    </row>
    <row r="10" spans="1:7" x14ac:dyDescent="0.25">
      <c r="A10">
        <v>40</v>
      </c>
      <c r="B10" s="3">
        <f t="shared" si="0"/>
        <v>313.14999999999998</v>
      </c>
      <c r="C10">
        <f t="shared" si="1"/>
        <v>7.384938078488676</v>
      </c>
      <c r="D10">
        <f t="shared" si="2"/>
        <v>992.17511534129972</v>
      </c>
      <c r="E10">
        <f t="shared" si="3"/>
        <v>5.1242255801689604E-2</v>
      </c>
      <c r="F10">
        <f t="shared" si="4"/>
        <v>167.5330355872226</v>
      </c>
      <c r="G10">
        <f t="shared" si="5"/>
        <v>2573.510322374003</v>
      </c>
    </row>
    <row r="11" spans="1:7" x14ac:dyDescent="0.25">
      <c r="A11">
        <v>50</v>
      </c>
      <c r="B11" s="3">
        <f t="shared" si="0"/>
        <v>323.14999999999998</v>
      </c>
      <c r="C11">
        <f t="shared" si="1"/>
        <v>12.351945839628758</v>
      </c>
      <c r="D11">
        <f t="shared" si="2"/>
        <v>987.99621061117341</v>
      </c>
      <c r="E11">
        <f t="shared" si="3"/>
        <v>8.3146842800444973E-2</v>
      </c>
      <c r="F11">
        <f t="shared" si="4"/>
        <v>209.34176132668546</v>
      </c>
      <c r="G11">
        <f t="shared" si="5"/>
        <v>2591.2888878672015</v>
      </c>
    </row>
    <row r="12" spans="1:7" x14ac:dyDescent="0.25">
      <c r="A12">
        <v>60</v>
      </c>
      <c r="B12" s="3">
        <f t="shared" si="0"/>
        <v>333.15</v>
      </c>
      <c r="C12">
        <f t="shared" si="1"/>
        <v>19.946434302814215</v>
      </c>
      <c r="D12">
        <f t="shared" si="2"/>
        <v>983.16021717833291</v>
      </c>
      <c r="E12">
        <f t="shared" si="3"/>
        <v>0.13042522259659811</v>
      </c>
      <c r="F12">
        <f t="shared" si="4"/>
        <v>251.18035191395026</v>
      </c>
      <c r="G12">
        <f t="shared" si="5"/>
        <v>2608.8348722177275</v>
      </c>
    </row>
    <row r="13" spans="1:7" x14ac:dyDescent="0.25">
      <c r="A13">
        <v>70</v>
      </c>
      <c r="B13" s="3">
        <f t="shared" si="0"/>
        <v>343.15</v>
      </c>
      <c r="C13">
        <f t="shared" si="1"/>
        <v>31.200930025580217</v>
      </c>
      <c r="D13">
        <f t="shared" si="2"/>
        <v>977.73365598192902</v>
      </c>
      <c r="E13">
        <f t="shared" si="3"/>
        <v>0.19843073794182256</v>
      </c>
      <c r="F13">
        <f t="shared" si="4"/>
        <v>293.06519282229141</v>
      </c>
      <c r="G13">
        <f t="shared" si="5"/>
        <v>2626.0964008315318</v>
      </c>
    </row>
    <row r="14" spans="1:7" x14ac:dyDescent="0.25">
      <c r="A14">
        <v>80</v>
      </c>
      <c r="B14" s="3">
        <f t="shared" si="0"/>
        <v>353.15</v>
      </c>
      <c r="C14">
        <f t="shared" si="1"/>
        <v>47.414474029639273</v>
      </c>
      <c r="D14">
        <f t="shared" si="2"/>
        <v>971.76621871051191</v>
      </c>
      <c r="E14">
        <f t="shared" si="3"/>
        <v>0.29367213474273518</v>
      </c>
      <c r="F14">
        <f t="shared" si="4"/>
        <v>335.01235325256681</v>
      </c>
      <c r="G14">
        <f t="shared" si="5"/>
        <v>2643.0158813452254</v>
      </c>
    </row>
    <row r="15" spans="1:7" x14ac:dyDescent="0.25">
      <c r="A15">
        <v>90</v>
      </c>
      <c r="B15" s="3">
        <f t="shared" si="0"/>
        <v>363.15</v>
      </c>
      <c r="C15">
        <f t="shared" si="1"/>
        <v>70.181765813260782</v>
      </c>
      <c r="D15">
        <f t="shared" si="2"/>
        <v>965.29532855043726</v>
      </c>
      <c r="E15">
        <f t="shared" si="3"/>
        <v>0.42389794463172359</v>
      </c>
      <c r="F15">
        <f t="shared" si="4"/>
        <v>377.03938647775493</v>
      </c>
      <c r="G15">
        <f t="shared" si="5"/>
        <v>2659.5300141957473</v>
      </c>
    </row>
    <row r="16" spans="1:7" x14ac:dyDescent="0.25">
      <c r="A16">
        <v>100</v>
      </c>
      <c r="B16" s="3">
        <f t="shared" si="0"/>
        <v>373.15</v>
      </c>
      <c r="C16">
        <f t="shared" si="1"/>
        <v>101.41799666002066</v>
      </c>
      <c r="D16">
        <f t="shared" si="2"/>
        <v>958.34905160486005</v>
      </c>
      <c r="E16">
        <f t="shared" si="3"/>
        <v>0.59816979192597053</v>
      </c>
      <c r="F16">
        <f t="shared" si="4"/>
        <v>419.16616289288754</v>
      </c>
      <c r="G16">
        <f t="shared" si="5"/>
        <v>2675.569884419464</v>
      </c>
    </row>
    <row r="17" spans="1:7" x14ac:dyDescent="0.25">
      <c r="A17">
        <v>110</v>
      </c>
      <c r="B17" s="3">
        <f t="shared" si="0"/>
        <v>383.15</v>
      </c>
      <c r="C17">
        <f t="shared" si="1"/>
        <v>143.37871294890778</v>
      </c>
      <c r="D17">
        <f t="shared" si="2"/>
        <v>950.94800358896453</v>
      </c>
      <c r="E17">
        <f t="shared" si="3"/>
        <v>0.8269295957235937</v>
      </c>
      <c r="F17">
        <f t="shared" si="4"/>
        <v>461.41518953432177</v>
      </c>
      <c r="G17">
        <f t="shared" si="5"/>
        <v>2691.0613426859572</v>
      </c>
    </row>
    <row r="18" spans="1:7" x14ac:dyDescent="0.25">
      <c r="A18">
        <v>120</v>
      </c>
      <c r="B18" s="3">
        <f t="shared" si="0"/>
        <v>393.15</v>
      </c>
      <c r="C18">
        <f t="shared" si="1"/>
        <v>198.67442048006205</v>
      </c>
      <c r="D18">
        <f t="shared" si="2"/>
        <v>943.10661743025378</v>
      </c>
      <c r="E18">
        <f t="shared" si="3"/>
        <v>1.1220671917645149</v>
      </c>
      <c r="F18">
        <f t="shared" si="4"/>
        <v>503.81169242146922</v>
      </c>
      <c r="G18">
        <f t="shared" si="5"/>
        <v>2705.9257657931835</v>
      </c>
    </row>
    <row r="19" spans="1:7" x14ac:dyDescent="0.25">
      <c r="A19">
        <v>130</v>
      </c>
      <c r="B19" s="3">
        <f t="shared" si="0"/>
        <v>403.15</v>
      </c>
      <c r="C19">
        <f t="shared" si="1"/>
        <v>270.27997678547871</v>
      </c>
      <c r="D19">
        <f t="shared" si="2"/>
        <v>934.83398660707996</v>
      </c>
      <c r="E19">
        <f t="shared" si="3"/>
        <v>1.4969959714829018</v>
      </c>
      <c r="F19">
        <f t="shared" si="4"/>
        <v>546.38362438114689</v>
      </c>
      <c r="G19">
        <f t="shared" si="5"/>
        <v>2720.0811051450496</v>
      </c>
    </row>
    <row r="20" spans="1:7" x14ac:dyDescent="0.25">
      <c r="A20">
        <v>140</v>
      </c>
      <c r="B20" s="3">
        <f t="shared" si="0"/>
        <v>413.15</v>
      </c>
      <c r="C20">
        <f t="shared" si="1"/>
        <v>361.53909939885102</v>
      </c>
      <c r="D20">
        <f t="shared" si="2"/>
        <v>926.13441329112425</v>
      </c>
      <c r="E20">
        <f t="shared" si="3"/>
        <v>1.9667450045125203</v>
      </c>
      <c r="F20">
        <f t="shared" si="4"/>
        <v>589.16169048823406</v>
      </c>
      <c r="G20">
        <f t="shared" si="5"/>
        <v>2733.4429731737559</v>
      </c>
    </row>
    <row r="21" spans="1:7" x14ac:dyDescent="0.25">
      <c r="A21">
        <v>150</v>
      </c>
      <c r="B21" s="3">
        <f t="shared" si="0"/>
        <v>423.15</v>
      </c>
      <c r="C21">
        <f t="shared" si="1"/>
        <v>476.16453796963026</v>
      </c>
      <c r="D21">
        <f t="shared" si="2"/>
        <v>917.00773926892509</v>
      </c>
      <c r="E21">
        <f t="shared" si="3"/>
        <v>2.5480771470961106</v>
      </c>
      <c r="F21">
        <f t="shared" si="4"/>
        <v>632.17944178056678</v>
      </c>
      <c r="G21">
        <f t="shared" si="5"/>
        <v>2745.9254514300796</v>
      </c>
    </row>
    <row r="22" spans="1:7" x14ac:dyDescent="0.25">
      <c r="A22">
        <v>160</v>
      </c>
      <c r="B22" s="3">
        <f t="shared" si="0"/>
        <v>433.15</v>
      </c>
      <c r="C22">
        <f t="shared" si="1"/>
        <v>618.23462142564961</v>
      </c>
      <c r="D22">
        <f t="shared" si="2"/>
        <v>907.4495056340736</v>
      </c>
      <c r="E22">
        <f t="shared" si="3"/>
        <v>3.2596441977608315</v>
      </c>
      <c r="F22">
        <f t="shared" si="4"/>
        <v>675.47346558322545</v>
      </c>
      <c r="G22">
        <f t="shared" si="5"/>
        <v>2757.4413489921208</v>
      </c>
    </row>
    <row r="23" spans="1:7" x14ac:dyDescent="0.25">
      <c r="A23">
        <v>170</v>
      </c>
      <c r="B23" s="3">
        <f t="shared" si="0"/>
        <v>443.15</v>
      </c>
      <c r="C23">
        <f t="shared" si="1"/>
        <v>792.18700698171995</v>
      </c>
      <c r="D23">
        <f t="shared" si="2"/>
        <v>897.45096587597243</v>
      </c>
      <c r="E23">
        <f t="shared" si="3"/>
        <v>4.1221925343361461</v>
      </c>
      <c r="F23">
        <f t="shared" si="4"/>
        <v>719.08369096295633</v>
      </c>
      <c r="G23">
        <f t="shared" si="5"/>
        <v>2767.901762261462</v>
      </c>
    </row>
    <row r="24" spans="1:7" x14ac:dyDescent="0.25">
      <c r="A24">
        <v>180</v>
      </c>
      <c r="B24" s="3">
        <f t="shared" si="0"/>
        <v>453.15</v>
      </c>
      <c r="C24">
        <f t="shared" si="1"/>
        <v>1002.8105360783895</v>
      </c>
      <c r="D24">
        <f t="shared" si="2"/>
        <v>886.99896128082025</v>
      </c>
      <c r="E24">
        <f t="shared" si="3"/>
        <v>5.1588361289185167</v>
      </c>
      <c r="F24">
        <f t="shared" si="4"/>
        <v>763.05382639583149</v>
      </c>
      <c r="G24">
        <f t="shared" si="5"/>
        <v>2777.2149260216215</v>
      </c>
    </row>
    <row r="25" spans="1:7" x14ac:dyDescent="0.25">
      <c r="A25">
        <v>190</v>
      </c>
      <c r="B25" s="3">
        <f t="shared" si="0"/>
        <v>463.15</v>
      </c>
      <c r="C25">
        <f t="shared" si="1"/>
        <v>1255.2361551603883</v>
      </c>
      <c r="D25">
        <f t="shared" si="2"/>
        <v>876.07565429885631</v>
      </c>
      <c r="E25">
        <f t="shared" si="3"/>
        <v>6.3954187812078507</v>
      </c>
      <c r="F25">
        <f t="shared" si="4"/>
        <v>807.43195145025209</v>
      </c>
      <c r="G25">
        <f t="shared" si="5"/>
        <v>2785.28444476205</v>
      </c>
    </row>
    <row r="26" spans="1:7" x14ac:dyDescent="0.25">
      <c r="A26">
        <v>200</v>
      </c>
      <c r="B26" s="3">
        <f t="shared" si="0"/>
        <v>473.15</v>
      </c>
      <c r="C26">
        <f t="shared" si="1"/>
        <v>1554.9279004666741</v>
      </c>
      <c r="D26">
        <f t="shared" si="2"/>
        <v>864.65810228712587</v>
      </c>
      <c r="E26">
        <f t="shared" si="3"/>
        <v>7.8609945167840447</v>
      </c>
      <c r="F26">
        <f t="shared" si="4"/>
        <v>852.2712944601858</v>
      </c>
      <c r="G26">
        <f t="shared" si="5"/>
        <v>2792.0070226267294</v>
      </c>
    </row>
    <row r="27" spans="1:7" x14ac:dyDescent="0.25">
      <c r="A27">
        <v>210</v>
      </c>
      <c r="B27" s="3">
        <f t="shared" si="0"/>
        <v>483.15</v>
      </c>
      <c r="C27">
        <f t="shared" si="1"/>
        <v>1907.6749935323041</v>
      </c>
      <c r="D27">
        <f t="shared" si="2"/>
        <v>852.71763851005699</v>
      </c>
      <c r="E27">
        <f t="shared" si="3"/>
        <v>9.5884655414267801</v>
      </c>
      <c r="F27">
        <f t="shared" si="4"/>
        <v>897.63124444416712</v>
      </c>
      <c r="G27">
        <f t="shared" si="5"/>
        <v>2797.2697683428014</v>
      </c>
    </row>
    <row r="28" spans="1:7" x14ac:dyDescent="0.25">
      <c r="A28">
        <v>220</v>
      </c>
      <c r="B28" s="3">
        <f t="shared" si="0"/>
        <v>493.15</v>
      </c>
      <c r="C28">
        <f t="shared" si="1"/>
        <v>2319.5861701994427</v>
      </c>
      <c r="D28">
        <f t="shared" si="2"/>
        <v>840.21900675000279</v>
      </c>
      <c r="E28">
        <f t="shared" si="3"/>
        <v>11.615432874295013</v>
      </c>
      <c r="F28">
        <f t="shared" si="4"/>
        <v>943.57867004221043</v>
      </c>
      <c r="G28">
        <f t="shared" si="5"/>
        <v>2800.9470527725625</v>
      </c>
    </row>
    <row r="29" spans="1:7" x14ac:dyDescent="0.25">
      <c r="A29">
        <v>230</v>
      </c>
      <c r="B29" s="3">
        <f t="shared" si="0"/>
        <v>503.15</v>
      </c>
      <c r="C29">
        <f t="shared" si="1"/>
        <v>2797.0874969294823</v>
      </c>
      <c r="D29">
        <f t="shared" si="2"/>
        <v>827.11916655179903</v>
      </c>
      <c r="E29">
        <f t="shared" si="3"/>
        <v>13.985338957508485</v>
      </c>
      <c r="F29">
        <f t="shared" si="4"/>
        <v>990.18965507747396</v>
      </c>
      <c r="G29">
        <f t="shared" si="5"/>
        <v>2802.8967584010438</v>
      </c>
    </row>
    <row r="30" spans="1:7" x14ac:dyDescent="0.25">
      <c r="A30">
        <v>240</v>
      </c>
      <c r="B30" s="3">
        <f t="shared" si="0"/>
        <v>513.15</v>
      </c>
      <c r="C30">
        <f t="shared" si="1"/>
        <v>3346.9251442691784</v>
      </c>
      <c r="D30">
        <f t="shared" si="2"/>
        <v>813.36564216909892</v>
      </c>
      <c r="E30">
        <f t="shared" si="3"/>
        <v>16.749019301603237</v>
      </c>
      <c r="F30">
        <f t="shared" si="4"/>
        <v>1037.5518165790274</v>
      </c>
      <c r="G30">
        <f t="shared" si="5"/>
        <v>2802.9556046252342</v>
      </c>
    </row>
    <row r="31" spans="1:7" x14ac:dyDescent="0.25">
      <c r="A31">
        <v>250</v>
      </c>
      <c r="B31" s="3">
        <f t="shared" si="0"/>
        <v>523.15</v>
      </c>
      <c r="C31">
        <f t="shared" si="1"/>
        <v>3976.1749306525894</v>
      </c>
      <c r="D31">
        <f t="shared" si="2"/>
        <v>798.89422022042197</v>
      </c>
      <c r="E31">
        <f t="shared" si="3"/>
        <v>19.966840438464846</v>
      </c>
      <c r="F31">
        <f t="shared" si="4"/>
        <v>1085.7674588110535</v>
      </c>
      <c r="G31">
        <f t="shared" si="5"/>
        <v>2800.9330729758303</v>
      </c>
    </row>
    <row r="32" spans="1:7" x14ac:dyDescent="0.25">
      <c r="A32">
        <v>260</v>
      </c>
      <c r="B32" s="3">
        <f t="shared" si="0"/>
        <v>533.15</v>
      </c>
      <c r="C32">
        <f t="shared" si="1"/>
        <v>4692.2609922997099</v>
      </c>
      <c r="D32">
        <f t="shared" si="2"/>
        <v>783.62569286973383</v>
      </c>
      <c r="E32">
        <f t="shared" si="3"/>
        <v>23.711700367712282</v>
      </c>
      <c r="F32">
        <f t="shared" si="4"/>
        <v>1134.9579569891293</v>
      </c>
      <c r="G32">
        <f t="shared" si="5"/>
        <v>2796.6032203853529</v>
      </c>
    </row>
    <row r="33" spans="1:7" x14ac:dyDescent="0.25">
      <c r="A33">
        <v>270</v>
      </c>
      <c r="B33" s="3">
        <f t="shared" si="0"/>
        <v>543.15</v>
      </c>
      <c r="C33">
        <f t="shared" si="1"/>
        <v>5502.986783014594</v>
      </c>
      <c r="D33">
        <f t="shared" si="2"/>
        <v>767.46116679898091</v>
      </c>
      <c r="E33">
        <f t="shared" si="3"/>
        <v>28.073335624424175</v>
      </c>
      <c r="F33">
        <f t="shared" si="4"/>
        <v>1185.2699943566142</v>
      </c>
      <c r="G33">
        <f t="shared" si="5"/>
        <v>2789.6932193000125</v>
      </c>
    </row>
    <row r="34" spans="1:7" x14ac:dyDescent="0.25">
      <c r="A34">
        <v>280</v>
      </c>
      <c r="B34" s="3">
        <f t="shared" si="0"/>
        <v>553.15</v>
      </c>
      <c r="C34">
        <f t="shared" si="1"/>
        <v>6416.5829095319705</v>
      </c>
      <c r="D34">
        <f t="shared" si="2"/>
        <v>750.27516129988305</v>
      </c>
      <c r="E34">
        <f t="shared" si="3"/>
        <v>33.164674054045747</v>
      </c>
      <c r="F34">
        <f t="shared" si="4"/>
        <v>1236.8846659592696</v>
      </c>
      <c r="G34">
        <f t="shared" si="5"/>
        <v>2779.8667305294548</v>
      </c>
    </row>
    <row r="35" spans="1:7" x14ac:dyDescent="0.25">
      <c r="A35">
        <v>290</v>
      </c>
      <c r="B35" s="3">
        <f t="shared" si="0"/>
        <v>563.15</v>
      </c>
      <c r="C35">
        <f t="shared" si="1"/>
        <v>7441.7783444211082</v>
      </c>
      <c r="D35">
        <f t="shared" si="2"/>
        <v>731.90519964368616</v>
      </c>
      <c r="E35">
        <f t="shared" si="3"/>
        <v>39.131512960158574</v>
      </c>
      <c r="F35">
        <f t="shared" si="4"/>
        <v>1290.0311497479677</v>
      </c>
      <c r="G35">
        <f t="shared" si="5"/>
        <v>2766.6990506391339</v>
      </c>
    </row>
    <row r="36" spans="1:7" x14ac:dyDescent="0.25">
      <c r="A36">
        <v>300</v>
      </c>
      <c r="B36" s="3">
        <f t="shared" si="0"/>
        <v>573.15</v>
      </c>
      <c r="C36">
        <f t="shared" si="1"/>
        <v>8587.9049408354604</v>
      </c>
      <c r="D36">
        <f t="shared" si="2"/>
        <v>712.1356388196142</v>
      </c>
      <c r="E36">
        <f t="shared" si="3"/>
        <v>46.167849523794544</v>
      </c>
      <c r="F36">
        <f t="shared" si="4"/>
        <v>1345.0079264161161</v>
      </c>
      <c r="G36">
        <f t="shared" si="5"/>
        <v>2749.6387614002474</v>
      </c>
    </row>
    <row r="37" spans="1:7" x14ac:dyDescent="0.25">
      <c r="A37">
        <v>310</v>
      </c>
      <c r="B37" s="3">
        <f t="shared" si="0"/>
        <v>583.15</v>
      </c>
      <c r="C37">
        <f t="shared" si="1"/>
        <v>9865.0512111821063</v>
      </c>
      <c r="D37">
        <f t="shared" si="2"/>
        <v>690.67154560984386</v>
      </c>
      <c r="E37">
        <f t="shared" si="3"/>
        <v>54.541361541638295</v>
      </c>
      <c r="F37">
        <f t="shared" si="4"/>
        <v>1402.2171260009693</v>
      </c>
      <c r="G37">
        <f t="shared" si="5"/>
        <v>2727.9458789653859</v>
      </c>
    </row>
    <row r="38" spans="1:7" x14ac:dyDescent="0.25">
      <c r="A38">
        <v>320</v>
      </c>
      <c r="B38" s="3">
        <f t="shared" si="0"/>
        <v>593.15</v>
      </c>
      <c r="C38">
        <f t="shared" si="1"/>
        <v>11284.292927464845</v>
      </c>
      <c r="D38">
        <f t="shared" si="2"/>
        <v>667.09384803259536</v>
      </c>
      <c r="E38">
        <f t="shared" si="3"/>
        <v>64.638432419886243</v>
      </c>
      <c r="F38">
        <f t="shared" si="4"/>
        <v>1462.2236463970921</v>
      </c>
      <c r="G38">
        <f t="shared" si="5"/>
        <v>2700.5857692409354</v>
      </c>
    </row>
    <row r="39" spans="1:7" x14ac:dyDescent="0.25">
      <c r="A39">
        <v>330</v>
      </c>
      <c r="B39" s="3">
        <f t="shared" si="0"/>
        <v>603.15</v>
      </c>
      <c r="C39">
        <f t="shared" si="1"/>
        <v>12858.051600018562</v>
      </c>
      <c r="D39">
        <f t="shared" si="2"/>
        <v>640.77321526474429</v>
      </c>
      <c r="E39">
        <f t="shared" si="3"/>
        <v>77.050425987313758</v>
      </c>
      <c r="F39">
        <f t="shared" si="4"/>
        <v>1525.8683270564184</v>
      </c>
      <c r="G39">
        <f t="shared" si="5"/>
        <v>2666.031140557167</v>
      </c>
    </row>
    <row r="40" spans="1:7" x14ac:dyDescent="0.25">
      <c r="A40">
        <v>340</v>
      </c>
      <c r="B40" s="3">
        <f t="shared" si="0"/>
        <v>613.15</v>
      </c>
      <c r="C40">
        <f t="shared" si="1"/>
        <v>14600.677371948052</v>
      </c>
      <c r="D40">
        <f t="shared" si="2"/>
        <v>610.66759832473201</v>
      </c>
      <c r="E40">
        <f t="shared" si="3"/>
        <v>92.758782507418118</v>
      </c>
      <c r="F40">
        <f t="shared" si="4"/>
        <v>1594.5289922369027</v>
      </c>
      <c r="G40">
        <f t="shared" si="5"/>
        <v>2621.8455755251762</v>
      </c>
    </row>
    <row r="41" spans="1:7" x14ac:dyDescent="0.25">
      <c r="A41">
        <v>350</v>
      </c>
      <c r="B41" s="3">
        <f t="shared" si="0"/>
        <v>623.15</v>
      </c>
      <c r="C41">
        <f t="shared" si="1"/>
        <v>16529.415139004024</v>
      </c>
      <c r="D41">
        <f t="shared" si="2"/>
        <v>574.70651653672405</v>
      </c>
      <c r="E41">
        <f t="shared" si="3"/>
        <v>113.6056105016314</v>
      </c>
      <c r="F41">
        <f t="shared" si="4"/>
        <v>1670.8899067287159</v>
      </c>
      <c r="G41">
        <f t="shared" si="5"/>
        <v>2563.6367109445468</v>
      </c>
    </row>
    <row r="42" spans="1:7" x14ac:dyDescent="0.25">
      <c r="A42">
        <v>360</v>
      </c>
      <c r="B42" s="3">
        <f t="shared" si="0"/>
        <v>633.15</v>
      </c>
      <c r="C42">
        <f t="shared" si="1"/>
        <v>18666.006645644971</v>
      </c>
      <c r="D42">
        <f t="shared" si="2"/>
        <v>527.59162939689577</v>
      </c>
      <c r="E42">
        <f t="shared" si="3"/>
        <v>143.89841140943165</v>
      </c>
      <c r="F42">
        <f t="shared" si="4"/>
        <v>1761.6646205625905</v>
      </c>
      <c r="G42">
        <f t="shared" si="5"/>
        <v>2481.4924833322352</v>
      </c>
    </row>
    <row r="43" spans="1:7" x14ac:dyDescent="0.25">
      <c r="A43">
        <v>370</v>
      </c>
      <c r="B43" s="3">
        <f t="shared" si="0"/>
        <v>643.15</v>
      </c>
      <c r="C43">
        <f t="shared" si="1"/>
        <v>21043.563147465771</v>
      </c>
      <c r="D43">
        <f t="shared" si="2"/>
        <v>451.42564747530241</v>
      </c>
      <c r="E43">
        <f t="shared" si="3"/>
        <v>201.83931641742618</v>
      </c>
      <c r="F43">
        <f t="shared" si="4"/>
        <v>1890.6872488661911</v>
      </c>
      <c r="G43">
        <f t="shared" si="5"/>
        <v>2334.5182916068688</v>
      </c>
    </row>
    <row r="44" spans="1:7" x14ac:dyDescent="0.25">
      <c r="A44">
        <f>Props1("Water","Tcrit")-0.01-273.15</f>
        <v>373.93600000000004</v>
      </c>
      <c r="B44" s="3">
        <f t="shared" ref="B44" si="6">A44+273.15</f>
        <v>647.08600000000001</v>
      </c>
      <c r="C44">
        <f t="shared" ref="C44" si="7">Props("P","T",B44,"Q",0,"Water")</f>
        <v>22061.3281318503</v>
      </c>
      <c r="D44">
        <f t="shared" ref="D44" si="8">Props("D","T",B44,"Q",0,"Water")</f>
        <v>337.0441041609796</v>
      </c>
      <c r="E44">
        <f t="shared" ref="E44" si="9">Props("D","T",B44,"Q",1,"Water")</f>
        <v>306.79658496624836</v>
      </c>
      <c r="F44">
        <f t="shared" ref="F44" si="10">Props("H","T",B44,"Q",0,"Water")</f>
        <v>2060.0042388190018</v>
      </c>
      <c r="G44">
        <f t="shared" ref="G44" si="11">Props("H","T",B44,"Q",1,"Water")</f>
        <v>2110.5585218700166</v>
      </c>
    </row>
  </sheetData>
  <mergeCells count="1">
    <mergeCell ref="A2:E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Sample calcs</vt:lpstr>
      <vt:lpstr>Water saturation table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2012-09-20T14:23:13Z</dcterms:modified>
</cp:coreProperties>
</file>